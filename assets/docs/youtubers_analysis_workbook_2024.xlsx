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EGGY RPN_GTL\Desktop\DATA ENGINEERING\API PROJECT\"/>
    </mc:Choice>
  </mc:AlternateContent>
  <xr:revisionPtr revIDLastSave="0" documentId="13_ncr:1_{569D01E7-8846-4E90-93BE-A5A044F67E89}" xr6:coauthVersionLast="47" xr6:coauthVersionMax="47" xr10:uidLastSave="{00000000-0000-0000-0000-000000000000}"/>
  <bookViews>
    <workbookView xWindow="-98" yWindow="-98" windowWidth="24196" windowHeight="12975" activeTab="1" xr2:uid="{5F201102-7C96-4E16-81F1-D0E6EA9B4962}"/>
  </bookViews>
  <sheets>
    <sheet name="1. total subs analysis" sheetId="1" r:id="rId1"/>
    <sheet name="2. total vids analysis" sheetId="3" r:id="rId2"/>
    <sheet name="3. total views analysi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2" i="3" l="1"/>
  <c r="O11" i="3"/>
  <c r="M12" i="3"/>
  <c r="D12" i="3"/>
  <c r="N12" i="3" s="1"/>
  <c r="M11" i="3"/>
  <c r="D11" i="3"/>
  <c r="N11" i="3" s="1"/>
  <c r="M10" i="3"/>
  <c r="D10" i="3"/>
  <c r="N10" i="3" s="1"/>
  <c r="M12" i="2"/>
  <c r="D12" i="2"/>
  <c r="N12" i="2" s="1"/>
  <c r="M11" i="2"/>
  <c r="D11" i="2"/>
  <c r="N11" i="2" s="1"/>
  <c r="M10" i="2"/>
  <c r="D10" i="2"/>
  <c r="N10" i="2" s="1"/>
  <c r="M10" i="1"/>
  <c r="N10" i="1"/>
  <c r="M11" i="1"/>
  <c r="M12" i="1"/>
  <c r="D10" i="1"/>
  <c r="F10" i="1"/>
  <c r="H10" i="1" s="1"/>
  <c r="D11" i="1"/>
  <c r="N11" i="1" s="1"/>
  <c r="D12" i="1"/>
  <c r="N12" i="1" s="1"/>
  <c r="F11" i="3" l="1"/>
  <c r="F12" i="3"/>
  <c r="F10" i="3"/>
  <c r="F11" i="2"/>
  <c r="F12" i="2"/>
  <c r="F10" i="2"/>
  <c r="F12" i="1"/>
  <c r="H12" i="1" s="1"/>
  <c r="P12" i="1" s="1"/>
  <c r="F11" i="1"/>
  <c r="P10" i="1"/>
  <c r="O10" i="1"/>
  <c r="O12" i="1"/>
  <c r="H12" i="3" l="1"/>
  <c r="P12" i="3" s="1"/>
  <c r="O10" i="3"/>
  <c r="H10" i="3"/>
  <c r="P10" i="3" s="1"/>
  <c r="H11" i="3"/>
  <c r="P11" i="3" s="1"/>
  <c r="H10" i="2"/>
  <c r="P10" i="2" s="1"/>
  <c r="O10" i="2"/>
  <c r="O12" i="2"/>
  <c r="H12" i="2"/>
  <c r="P12" i="2" s="1"/>
  <c r="O11" i="2"/>
  <c r="H11" i="2"/>
  <c r="P11" i="2" s="1"/>
  <c r="O11" i="1"/>
  <c r="H11" i="1"/>
  <c r="P11" i="1" s="1"/>
</calcChain>
</file>

<file path=xl/sharedStrings.xml><?xml version="1.0" encoding="utf-8"?>
<sst xmlns="http://schemas.openxmlformats.org/spreadsheetml/2006/main" count="78" uniqueCount="36">
  <si>
    <t>Total Subscribers Analysis</t>
  </si>
  <si>
    <t>Reconciliations (Excel vs SQL)</t>
  </si>
  <si>
    <t>Channel Name</t>
  </si>
  <si>
    <t>Avg Views per Vid (Excel)</t>
  </si>
  <si>
    <t>Avg Views per Vid (SQL)</t>
  </si>
  <si>
    <t>Potential Product Sales per video</t>
  </si>
  <si>
    <t xml:space="preserve">Potential Product Sales per video (Excel) </t>
  </si>
  <si>
    <t xml:space="preserve">Potential Product Sales per video (SQL) </t>
  </si>
  <si>
    <t>Net profit (Excel)</t>
  </si>
  <si>
    <t>Net profit (SQL)</t>
  </si>
  <si>
    <t>Conversion rate</t>
  </si>
  <si>
    <t>Product cost</t>
  </si>
  <si>
    <t>Campaign cost</t>
  </si>
  <si>
    <t>NoCopyrightSounds</t>
  </si>
  <si>
    <t>DanTDM</t>
  </si>
  <si>
    <t>Dan Rhodes</t>
  </si>
  <si>
    <t>Potential revenue per video ($USD) (Excel)</t>
  </si>
  <si>
    <t>Potential revenue per video ($USD) (SQL)</t>
  </si>
  <si>
    <t xml:space="preserve">Avg Views per Vid </t>
  </si>
  <si>
    <t>Difference 
(Excel vs SQL)</t>
  </si>
  <si>
    <t>Potential revenue per video ($USD)</t>
  </si>
  <si>
    <t xml:space="preserve">Net profit </t>
  </si>
  <si>
    <t>Recommendations</t>
  </si>
  <si>
    <t>Total Videos Analysis</t>
  </si>
  <si>
    <t>GRM Daily</t>
  </si>
  <si>
    <t>Man City</t>
  </si>
  <si>
    <t>Yogscast</t>
  </si>
  <si>
    <t>Total Views Analysis</t>
  </si>
  <si>
    <t>Mister Max</t>
  </si>
  <si>
    <t>Campaign type</t>
  </si>
  <si>
    <t>Product placement</t>
  </si>
  <si>
    <t>Althought Yogscast is the only channel with a positive net profit, the return on investment does not yied a high return. 
However, each of these channels are among some of the most consistent uploaders, averaging a resonable number of views per video, so it may be worth negotiating with the board on a higher budget for this 11-video series campaign to establish a good long-term relationship with these channels, as their consistent upload rate would inevitably increase their potential reach over time.</t>
  </si>
  <si>
    <t>11-video series sponsorship ($5k per vid)</t>
  </si>
  <si>
    <t>Influencer marketing</t>
  </si>
  <si>
    <t>Mister Max generates the best ROI based on this deal structure, but it's hard to ignore the net profit the other YouTuber channels generate from this too. It may be worth sructuring a package for all three of these channels and reaching out to their teams for a further conversation into a deal that generates a good return for all parties involved.</t>
  </si>
  <si>
    <t>Based on the viewership and views per subscriber, Dan Rhodes appears to be the best option to advance with because there's a higher return on investment with Dan Rhodes compared to the other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</si>
</sst>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9">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
      <b/>
      <sz val="18"/>
      <color theme="1"/>
      <name val="Aptos Narrow"/>
      <family val="2"/>
      <scheme val="minor"/>
    </font>
    <font>
      <b/>
      <sz val="16"/>
      <color theme="1"/>
      <name val="Aptos Narrow"/>
      <family val="2"/>
      <scheme val="minor"/>
    </font>
    <font>
      <b/>
      <sz val="11"/>
      <color rgb="FF006100"/>
      <name val="Aptos Narrow"/>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5"/>
      </patternFill>
    </fill>
    <fill>
      <patternFill patternType="solid">
        <fgColor theme="5" tint="0.59999389629810485"/>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cellStyleXfs>
  <cellXfs count="21">
    <xf numFmtId="0" fontId="0" fillId="0" borderId="0" xfId="0"/>
    <xf numFmtId="0" fontId="5" fillId="0" borderId="0" xfId="0" applyFont="1"/>
    <xf numFmtId="0" fontId="0" fillId="0" borderId="1" xfId="0" applyBorder="1"/>
    <xf numFmtId="0" fontId="0" fillId="0" borderId="1" xfId="0" applyBorder="1" applyAlignment="1">
      <alignment horizontal="center" wrapText="1"/>
    </xf>
    <xf numFmtId="0" fontId="4" fillId="4" borderId="1" xfId="4" applyBorder="1" applyAlignment="1">
      <alignment horizontal="center" wrapText="1"/>
    </xf>
    <xf numFmtId="0" fontId="3" fillId="3" borderId="1" xfId="3" applyBorder="1" applyAlignment="1">
      <alignment horizontal="center" wrapText="1"/>
    </xf>
    <xf numFmtId="0" fontId="2" fillId="2" borderId="1" xfId="2" applyBorder="1" applyAlignment="1">
      <alignment horizontal="center" wrapText="1"/>
    </xf>
    <xf numFmtId="0" fontId="1" fillId="5" borderId="1" xfId="5" applyBorder="1" applyAlignment="1">
      <alignment horizontal="center" wrapText="1"/>
    </xf>
    <xf numFmtId="0" fontId="1" fillId="5" borderId="1" xfId="5" applyBorder="1"/>
    <xf numFmtId="164" fontId="0" fillId="0" borderId="1" xfId="1" applyNumberFormat="1" applyFont="1" applyBorder="1"/>
    <xf numFmtId="164" fontId="4" fillId="4" borderId="1" xfId="1" applyNumberFormat="1" applyFont="1" applyFill="1" applyBorder="1" applyAlignment="1">
      <alignment horizontal="center" wrapText="1"/>
    </xf>
    <xf numFmtId="164" fontId="0" fillId="0" borderId="0" xfId="1" applyNumberFormat="1" applyFont="1"/>
    <xf numFmtId="164" fontId="0" fillId="0" borderId="0" xfId="0" applyNumberFormat="1"/>
    <xf numFmtId="0" fontId="0" fillId="5" borderId="1" xfId="5" applyFont="1" applyBorder="1" applyAlignment="1">
      <alignment horizontal="center" wrapText="1"/>
    </xf>
    <xf numFmtId="164" fontId="8" fillId="2" borderId="1" xfId="2" applyNumberFormat="1" applyFont="1" applyBorder="1"/>
    <xf numFmtId="0" fontId="0" fillId="5" borderId="1" xfId="5" applyFont="1" applyBorder="1"/>
    <xf numFmtId="0" fontId="0" fillId="0" borderId="1" xfId="0" applyBorder="1" applyAlignment="1">
      <alignment horizontal="right"/>
    </xf>
    <xf numFmtId="0" fontId="6" fillId="6" borderId="0" xfId="0" applyFont="1" applyFill="1" applyAlignment="1">
      <alignment horizontal="center"/>
    </xf>
    <xf numFmtId="0" fontId="7" fillId="7" borderId="1" xfId="0" applyFont="1" applyFill="1" applyBorder="1" applyAlignment="1">
      <alignment horizontal="center" wrapText="1"/>
    </xf>
    <xf numFmtId="0" fontId="7" fillId="7" borderId="1" xfId="0" applyFont="1" applyFill="1" applyBorder="1" applyAlignment="1">
      <alignment horizontal="center"/>
    </xf>
    <xf numFmtId="0" fontId="0" fillId="0" borderId="0" xfId="0" applyAlignment="1">
      <alignment horizontal="center" wrapText="1"/>
    </xf>
  </cellXfs>
  <cellStyles count="6">
    <cellStyle name="20% - Accent4" xfId="5" builtinId="42"/>
    <cellStyle name="Bad" xfId="3" builtinId="27"/>
    <cellStyle name="Comma" xfId="1" builtinId="3"/>
    <cellStyle name="Good" xfId="2" builtinId="26"/>
    <cellStyle name="Neutral" xfId="4" builtinId="28"/>
    <cellStyle name="Normal" xfId="0" builtinId="0"/>
  </cellStyles>
  <dxfs count="9">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82CDC-8B46-4845-A52B-7AB7A56147CC}">
  <dimension ref="A1:P19"/>
  <sheetViews>
    <sheetView topLeftCell="A12" zoomScale="130" zoomScaleNormal="130" workbookViewId="0">
      <selection activeCell="D24" sqref="D24"/>
    </sheetView>
  </sheetViews>
  <sheetFormatPr defaultRowHeight="13.5"/>
  <cols>
    <col min="1" max="1" width="22.1875" customWidth="1"/>
    <col min="2" max="2" width="17.1875" customWidth="1"/>
    <col min="3" max="3" width="17.4375" customWidth="1"/>
    <col min="4" max="4" width="26.625" customWidth="1"/>
    <col min="5" max="5" width="24.4375" customWidth="1"/>
    <col min="6" max="6" width="22.625" customWidth="1"/>
    <col min="7" max="7" width="20.375" customWidth="1"/>
    <col min="8" max="8" width="13.0625" customWidth="1"/>
    <col min="9" max="9" width="12.75" bestFit="1" customWidth="1"/>
    <col min="13" max="14" width="18.4375" customWidth="1"/>
    <col min="15" max="15" width="22.375" customWidth="1"/>
    <col min="16" max="16" width="12.4375" customWidth="1"/>
  </cols>
  <sheetData>
    <row r="1" spans="1:16" ht="22.5">
      <c r="A1" s="17" t="s">
        <v>0</v>
      </c>
      <c r="B1" s="17"/>
      <c r="C1" s="17"/>
      <c r="D1" s="17"/>
    </row>
    <row r="4" spans="1:16" ht="13.9">
      <c r="A4" s="1" t="s">
        <v>1</v>
      </c>
      <c r="C4" s="8" t="s">
        <v>10</v>
      </c>
      <c r="D4" s="2">
        <v>0.02</v>
      </c>
    </row>
    <row r="5" spans="1:16">
      <c r="C5" s="8" t="s">
        <v>11</v>
      </c>
      <c r="D5" s="2">
        <v>5</v>
      </c>
    </row>
    <row r="6" spans="1:16">
      <c r="C6" s="8" t="s">
        <v>12</v>
      </c>
      <c r="D6" s="9">
        <v>50000</v>
      </c>
    </row>
    <row r="7" spans="1:16">
      <c r="C7" s="15" t="s">
        <v>29</v>
      </c>
      <c r="D7" s="16" t="s">
        <v>30</v>
      </c>
    </row>
    <row r="8" spans="1:16" ht="40.049999999999997" customHeight="1">
      <c r="M8" s="18" t="s">
        <v>19</v>
      </c>
      <c r="N8" s="19"/>
      <c r="O8" s="19"/>
      <c r="P8" s="19"/>
    </row>
    <row r="9" spans="1:16" ht="40.5" customHeight="1">
      <c r="A9" s="3" t="s">
        <v>2</v>
      </c>
      <c r="B9" s="10" t="s">
        <v>3</v>
      </c>
      <c r="C9" s="4" t="s">
        <v>4</v>
      </c>
      <c r="D9" s="5" t="s">
        <v>6</v>
      </c>
      <c r="E9" s="5" t="s">
        <v>7</v>
      </c>
      <c r="F9" s="6" t="s">
        <v>16</v>
      </c>
      <c r="G9" s="6" t="s">
        <v>17</v>
      </c>
      <c r="H9" s="7" t="s">
        <v>8</v>
      </c>
      <c r="I9" s="7" t="s">
        <v>9</v>
      </c>
      <c r="M9" s="10" t="s">
        <v>18</v>
      </c>
      <c r="N9" s="5" t="s">
        <v>5</v>
      </c>
      <c r="O9" s="6" t="s">
        <v>20</v>
      </c>
      <c r="P9" s="13" t="s">
        <v>21</v>
      </c>
    </row>
    <row r="10" spans="1:16">
      <c r="A10" s="2" t="s">
        <v>13</v>
      </c>
      <c r="B10" s="9">
        <v>6920000</v>
      </c>
      <c r="C10" s="9">
        <v>6920000</v>
      </c>
      <c r="D10" s="9">
        <f>B10*$D$4</f>
        <v>138400</v>
      </c>
      <c r="E10" s="9">
        <v>138400</v>
      </c>
      <c r="F10" s="9">
        <f>D10*$D$5</f>
        <v>692000</v>
      </c>
      <c r="G10" s="9">
        <v>692000</v>
      </c>
      <c r="H10" s="9">
        <f>F10-$D$6</f>
        <v>642000</v>
      </c>
      <c r="I10" s="9">
        <v>642000</v>
      </c>
      <c r="M10" s="12">
        <f>B10-C10</f>
        <v>0</v>
      </c>
      <c r="N10" s="12">
        <f>D10-E10</f>
        <v>0</v>
      </c>
      <c r="O10" s="12">
        <f>F10-G10</f>
        <v>0</v>
      </c>
      <c r="P10" s="12">
        <f>H10-I10</f>
        <v>0</v>
      </c>
    </row>
    <row r="11" spans="1:16">
      <c r="A11" s="2" t="s">
        <v>14</v>
      </c>
      <c r="B11" s="9">
        <v>5340000</v>
      </c>
      <c r="C11" s="9">
        <v>5340000</v>
      </c>
      <c r="D11" s="9">
        <f t="shared" ref="D11:D12" si="0">B11*$D$4</f>
        <v>106800</v>
      </c>
      <c r="E11" s="9">
        <v>106800</v>
      </c>
      <c r="F11" s="9">
        <f t="shared" ref="F11:F12" si="1">D11*$D$5</f>
        <v>534000</v>
      </c>
      <c r="G11" s="9">
        <v>534000</v>
      </c>
      <c r="H11" s="9">
        <f t="shared" ref="H11:H12" si="2">F11-$D$6</f>
        <v>484000</v>
      </c>
      <c r="I11" s="9">
        <v>484000</v>
      </c>
      <c r="M11" s="12">
        <f t="shared" ref="M11:M12" si="3">B11-C11</f>
        <v>0</v>
      </c>
      <c r="N11" s="12">
        <f t="shared" ref="N11:N12" si="4">D11-E11</f>
        <v>0</v>
      </c>
      <c r="O11" s="12">
        <f t="shared" ref="O11:O12" si="5">F11-G11</f>
        <v>0</v>
      </c>
      <c r="P11" s="12">
        <f>H11-I11</f>
        <v>0</v>
      </c>
    </row>
    <row r="12" spans="1:16" ht="13.9">
      <c r="A12" s="2" t="s">
        <v>15</v>
      </c>
      <c r="B12" s="9">
        <v>11150000</v>
      </c>
      <c r="C12" s="9">
        <v>11150000</v>
      </c>
      <c r="D12" s="9">
        <f t="shared" si="0"/>
        <v>223000</v>
      </c>
      <c r="E12" s="9">
        <v>223000</v>
      </c>
      <c r="F12" s="9">
        <f t="shared" si="1"/>
        <v>1115000</v>
      </c>
      <c r="G12" s="9">
        <v>1115000</v>
      </c>
      <c r="H12" s="14">
        <f t="shared" si="2"/>
        <v>1065000</v>
      </c>
      <c r="I12" s="14">
        <v>1065000</v>
      </c>
      <c r="M12" s="12">
        <f t="shared" si="3"/>
        <v>0</v>
      </c>
      <c r="N12" s="12">
        <f t="shared" si="4"/>
        <v>0</v>
      </c>
      <c r="O12" s="12">
        <f t="shared" si="5"/>
        <v>0</v>
      </c>
      <c r="P12" s="12">
        <f t="shared" ref="P12" si="6">H12-I12</f>
        <v>0</v>
      </c>
    </row>
    <row r="13" spans="1:16">
      <c r="B13" s="11"/>
      <c r="C13" s="11"/>
    </row>
    <row r="14" spans="1:16">
      <c r="C14" s="12"/>
    </row>
    <row r="15" spans="1:16">
      <c r="C15" s="12"/>
    </row>
    <row r="16" spans="1:16">
      <c r="C16" s="12"/>
    </row>
    <row r="17" spans="1:4" ht="13.9">
      <c r="A17" s="1" t="s">
        <v>22</v>
      </c>
    </row>
    <row r="19" spans="1:4" ht="43.05" customHeight="1">
      <c r="A19" s="20" t="s">
        <v>35</v>
      </c>
      <c r="B19" s="20"/>
      <c r="C19" s="20"/>
      <c r="D19" s="20"/>
    </row>
  </sheetData>
  <mergeCells count="3">
    <mergeCell ref="A1:D1"/>
    <mergeCell ref="M8:P8"/>
    <mergeCell ref="A19:D19"/>
  </mergeCells>
  <conditionalFormatting sqref="M10:P12">
    <cfRule type="cellIs" dxfId="8" priority="1" operator="notEqual">
      <formula>0</formula>
    </cfRule>
    <cfRule type="expression" dxfId="7" priority="3">
      <formula>$M$10&lt;&gt;0</formula>
    </cfRule>
  </conditionalFormatting>
  <conditionalFormatting sqref="N10:N12">
    <cfRule type="expression" dxfId="6" priority="2">
      <formula>$M$10:$P$12&lt;&gt;0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0BC6-1438-40ED-B0D8-DFBF750E98EE}">
  <dimension ref="A1:P19"/>
  <sheetViews>
    <sheetView tabSelected="1" topLeftCell="D1" zoomScale="130" zoomScaleNormal="130" workbookViewId="0">
      <selection activeCell="J12" sqref="J12"/>
    </sheetView>
  </sheetViews>
  <sheetFormatPr defaultRowHeight="13.5"/>
  <cols>
    <col min="1" max="1" width="22.1875" customWidth="1"/>
    <col min="2" max="2" width="17.1875" customWidth="1"/>
    <col min="3" max="3" width="17.4375" customWidth="1"/>
    <col min="4" max="4" width="35.0625" customWidth="1"/>
    <col min="5" max="5" width="24.4375" customWidth="1"/>
    <col min="6" max="6" width="22.625" customWidth="1"/>
    <col min="7" max="7" width="20.375" customWidth="1"/>
    <col min="8" max="8" width="13.0625" customWidth="1"/>
    <col min="9" max="9" width="12.75" bestFit="1" customWidth="1"/>
    <col min="13" max="14" width="18.4375" customWidth="1"/>
    <col min="15" max="15" width="22.375" customWidth="1"/>
    <col min="16" max="16" width="12.4375" customWidth="1"/>
  </cols>
  <sheetData>
    <row r="1" spans="1:16" ht="22.5">
      <c r="A1" s="17" t="s">
        <v>23</v>
      </c>
      <c r="B1" s="17"/>
      <c r="C1" s="17"/>
      <c r="D1" s="17"/>
    </row>
    <row r="4" spans="1:16" ht="13.9">
      <c r="A4" s="1" t="s">
        <v>1</v>
      </c>
      <c r="C4" s="8" t="s">
        <v>10</v>
      </c>
      <c r="D4" s="2">
        <v>0.02</v>
      </c>
    </row>
    <row r="5" spans="1:16">
      <c r="C5" s="8" t="s">
        <v>11</v>
      </c>
      <c r="D5" s="2">
        <v>5</v>
      </c>
    </row>
    <row r="6" spans="1:16">
      <c r="C6" s="8" t="s">
        <v>12</v>
      </c>
      <c r="D6" s="9">
        <v>55000</v>
      </c>
    </row>
    <row r="7" spans="1:16">
      <c r="C7" s="15" t="s">
        <v>29</v>
      </c>
      <c r="D7" s="16" t="s">
        <v>32</v>
      </c>
    </row>
    <row r="8" spans="1:16" ht="40.049999999999997" customHeight="1">
      <c r="M8" s="18" t="s">
        <v>19</v>
      </c>
      <c r="N8" s="19"/>
      <c r="O8" s="19"/>
      <c r="P8" s="19"/>
    </row>
    <row r="9" spans="1:16" ht="40.5" customHeight="1">
      <c r="A9" s="3" t="s">
        <v>2</v>
      </c>
      <c r="B9" s="10" t="s">
        <v>3</v>
      </c>
      <c r="C9" s="4" t="s">
        <v>4</v>
      </c>
      <c r="D9" s="5" t="s">
        <v>6</v>
      </c>
      <c r="E9" s="5" t="s">
        <v>7</v>
      </c>
      <c r="F9" s="6" t="s">
        <v>16</v>
      </c>
      <c r="G9" s="6" t="s">
        <v>17</v>
      </c>
      <c r="H9" s="7" t="s">
        <v>8</v>
      </c>
      <c r="I9" s="7" t="s">
        <v>9</v>
      </c>
      <c r="M9" s="10" t="s">
        <v>18</v>
      </c>
      <c r="N9" s="5" t="s">
        <v>5</v>
      </c>
      <c r="O9" s="6" t="s">
        <v>20</v>
      </c>
      <c r="P9" s="13" t="s">
        <v>21</v>
      </c>
    </row>
    <row r="10" spans="1:16">
      <c r="A10" s="2" t="s">
        <v>24</v>
      </c>
      <c r="B10" s="9">
        <v>510000</v>
      </c>
      <c r="C10" s="9">
        <v>510000</v>
      </c>
      <c r="D10" s="9">
        <f>B10*$D$4</f>
        <v>10200</v>
      </c>
      <c r="E10" s="9">
        <v>10200</v>
      </c>
      <c r="F10" s="9">
        <f>D10*$D$5</f>
        <v>51000</v>
      </c>
      <c r="G10" s="9">
        <v>51000</v>
      </c>
      <c r="H10" s="9">
        <f>F10-$D$6</f>
        <v>-4000</v>
      </c>
      <c r="I10" s="9">
        <v>-4000</v>
      </c>
      <c r="M10" s="12">
        <f>B10-C10</f>
        <v>0</v>
      </c>
      <c r="N10" s="12">
        <f>D10-E10</f>
        <v>0</v>
      </c>
      <c r="O10" s="12">
        <f>F10-G10</f>
        <v>0</v>
      </c>
      <c r="P10" s="12">
        <f>H10-I10</f>
        <v>0</v>
      </c>
    </row>
    <row r="11" spans="1:16">
      <c r="A11" s="2" t="s">
        <v>25</v>
      </c>
      <c r="B11" s="9">
        <v>240000</v>
      </c>
      <c r="C11" s="9">
        <v>240000</v>
      </c>
      <c r="D11" s="9">
        <f t="shared" ref="D11:D12" si="0">B11*$D$4</f>
        <v>4800</v>
      </c>
      <c r="E11" s="9">
        <v>4800</v>
      </c>
      <c r="F11" s="9">
        <f t="shared" ref="F11:F12" si="1">D11*$D$5</f>
        <v>24000</v>
      </c>
      <c r="G11" s="9">
        <v>24000</v>
      </c>
      <c r="H11" s="9">
        <f t="shared" ref="H11:H12" si="2">F11-$D$6</f>
        <v>-31000</v>
      </c>
      <c r="I11" s="9">
        <v>-31000</v>
      </c>
      <c r="M11" s="12">
        <f t="shared" ref="M11:M12" si="3">B11-C11</f>
        <v>0</v>
      </c>
      <c r="N11" s="12">
        <f t="shared" ref="N11:N12" si="4">D11-E11</f>
        <v>0</v>
      </c>
      <c r="O11" s="12">
        <f>F11-G11</f>
        <v>0</v>
      </c>
      <c r="P11" s="12">
        <f>H11-I11</f>
        <v>0</v>
      </c>
    </row>
    <row r="12" spans="1:16">
      <c r="A12" s="2" t="s">
        <v>26</v>
      </c>
      <c r="B12" s="9">
        <v>710000</v>
      </c>
      <c r="C12" s="9">
        <v>710000</v>
      </c>
      <c r="D12" s="9">
        <f t="shared" si="0"/>
        <v>14200</v>
      </c>
      <c r="E12" s="9">
        <v>14200</v>
      </c>
      <c r="F12" s="9">
        <f t="shared" si="1"/>
        <v>71000</v>
      </c>
      <c r="G12" s="2">
        <v>71000</v>
      </c>
      <c r="H12" s="9">
        <f t="shared" si="2"/>
        <v>16000</v>
      </c>
      <c r="I12" s="9">
        <v>16000</v>
      </c>
      <c r="M12" s="12">
        <f t="shared" si="3"/>
        <v>0</v>
      </c>
      <c r="N12" s="12">
        <f t="shared" si="4"/>
        <v>0</v>
      </c>
      <c r="O12" s="12">
        <f>F12-G12</f>
        <v>0</v>
      </c>
      <c r="P12" s="12">
        <f t="shared" ref="P12" si="5">H12-I12</f>
        <v>0</v>
      </c>
    </row>
    <row r="13" spans="1:16">
      <c r="B13" s="11"/>
      <c r="C13" s="11"/>
    </row>
    <row r="14" spans="1:16">
      <c r="C14" s="12"/>
    </row>
    <row r="15" spans="1:16">
      <c r="C15" s="12"/>
    </row>
    <row r="16" spans="1:16">
      <c r="C16" s="12"/>
    </row>
    <row r="17" spans="1:4" ht="13.9">
      <c r="A17" s="1" t="s">
        <v>22</v>
      </c>
    </row>
    <row r="19" spans="1:4" ht="116" customHeight="1">
      <c r="A19" s="20" t="s">
        <v>31</v>
      </c>
      <c r="B19" s="20"/>
      <c r="C19" s="20"/>
      <c r="D19" s="20"/>
    </row>
  </sheetData>
  <mergeCells count="3">
    <mergeCell ref="A1:D1"/>
    <mergeCell ref="M8:P8"/>
    <mergeCell ref="A19:D19"/>
  </mergeCells>
  <conditionalFormatting sqref="M10:P12">
    <cfRule type="cellIs" dxfId="5" priority="1" operator="notEqual">
      <formula>0</formula>
    </cfRule>
    <cfRule type="expression" dxfId="4" priority="3">
      <formula>$M$10&lt;&gt;0</formula>
    </cfRule>
  </conditionalFormatting>
  <conditionalFormatting sqref="N10:N12">
    <cfRule type="expression" dxfId="3" priority="2">
      <formula>$M$10:$P$12&lt;&gt;0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9B37-FC8C-4F8E-8D2E-0A5677972955}">
  <dimension ref="A1:P19"/>
  <sheetViews>
    <sheetView topLeftCell="A8" zoomScale="130" zoomScaleNormal="130" workbookViewId="0">
      <selection activeCell="C16" sqref="C16"/>
    </sheetView>
  </sheetViews>
  <sheetFormatPr defaultRowHeight="13.5"/>
  <cols>
    <col min="1" max="1" width="22.1875" customWidth="1"/>
    <col min="2" max="2" width="17.1875" customWidth="1"/>
    <col min="3" max="3" width="17.4375" customWidth="1"/>
    <col min="4" max="4" width="26.625" customWidth="1"/>
    <col min="5" max="5" width="24.4375" customWidth="1"/>
    <col min="6" max="6" width="22.625" customWidth="1"/>
    <col min="7" max="7" width="20.375" customWidth="1"/>
    <col min="8" max="8" width="13.0625" customWidth="1"/>
    <col min="9" max="9" width="12.75" bestFit="1" customWidth="1"/>
    <col min="13" max="14" width="18.4375" customWidth="1"/>
    <col min="15" max="15" width="22.375" customWidth="1"/>
    <col min="16" max="16" width="12.4375" customWidth="1"/>
  </cols>
  <sheetData>
    <row r="1" spans="1:16" ht="22.5">
      <c r="A1" s="17" t="s">
        <v>27</v>
      </c>
      <c r="B1" s="17"/>
      <c r="C1" s="17"/>
      <c r="D1" s="17"/>
    </row>
    <row r="4" spans="1:16" ht="13.9">
      <c r="A4" s="1" t="s">
        <v>1</v>
      </c>
      <c r="C4" s="8" t="s">
        <v>10</v>
      </c>
      <c r="D4" s="2">
        <v>0.02</v>
      </c>
    </row>
    <row r="5" spans="1:16">
      <c r="C5" s="8" t="s">
        <v>11</v>
      </c>
      <c r="D5" s="2">
        <v>5</v>
      </c>
    </row>
    <row r="6" spans="1:16">
      <c r="C6" s="8" t="s">
        <v>12</v>
      </c>
      <c r="D6" s="9">
        <v>130000</v>
      </c>
    </row>
    <row r="7" spans="1:16">
      <c r="C7" s="15" t="s">
        <v>29</v>
      </c>
      <c r="D7" s="16" t="s">
        <v>33</v>
      </c>
    </row>
    <row r="8" spans="1:16" ht="40.049999999999997" customHeight="1">
      <c r="M8" s="18" t="s">
        <v>19</v>
      </c>
      <c r="N8" s="19"/>
      <c r="O8" s="19"/>
      <c r="P8" s="19"/>
    </row>
    <row r="9" spans="1:16" ht="40.5" customHeight="1">
      <c r="A9" s="3" t="s">
        <v>2</v>
      </c>
      <c r="B9" s="10" t="s">
        <v>3</v>
      </c>
      <c r="C9" s="4" t="s">
        <v>4</v>
      </c>
      <c r="D9" s="5" t="s">
        <v>6</v>
      </c>
      <c r="E9" s="5" t="s">
        <v>7</v>
      </c>
      <c r="F9" s="6" t="s">
        <v>16</v>
      </c>
      <c r="G9" s="6" t="s">
        <v>17</v>
      </c>
      <c r="H9" s="7" t="s">
        <v>8</v>
      </c>
      <c r="I9" s="7" t="s">
        <v>9</v>
      </c>
      <c r="M9" s="10" t="s">
        <v>18</v>
      </c>
      <c r="N9" s="5" t="s">
        <v>5</v>
      </c>
      <c r="O9" s="6" t="s">
        <v>20</v>
      </c>
      <c r="P9" s="13" t="s">
        <v>21</v>
      </c>
    </row>
    <row r="10" spans="1:16">
      <c r="A10" s="2" t="s">
        <v>15</v>
      </c>
      <c r="B10" s="9">
        <v>11150000</v>
      </c>
      <c r="C10" s="9">
        <v>11150000</v>
      </c>
      <c r="D10" s="9">
        <f>B10*$D$4</f>
        <v>223000</v>
      </c>
      <c r="E10" s="9">
        <v>223000</v>
      </c>
      <c r="F10" s="9">
        <f>D10*$D$5</f>
        <v>1115000</v>
      </c>
      <c r="G10" s="9">
        <v>1115000</v>
      </c>
      <c r="H10" s="9">
        <f>F10-$D$6</f>
        <v>985000</v>
      </c>
      <c r="I10" s="9">
        <v>985000</v>
      </c>
      <c r="M10" s="12">
        <f>B10-C10</f>
        <v>0</v>
      </c>
      <c r="N10" s="12">
        <f>D10-E10</f>
        <v>0</v>
      </c>
      <c r="O10" s="12">
        <f>F10-G10</f>
        <v>0</v>
      </c>
      <c r="P10" s="12">
        <f>H10-I10</f>
        <v>0</v>
      </c>
    </row>
    <row r="11" spans="1:16">
      <c r="A11" s="2" t="s">
        <v>14</v>
      </c>
      <c r="B11" s="9">
        <v>5340000</v>
      </c>
      <c r="C11" s="9">
        <v>5340000</v>
      </c>
      <c r="D11" s="9">
        <f t="shared" ref="D11:D12" si="0">B11*$D$4</f>
        <v>106800</v>
      </c>
      <c r="E11" s="9">
        <v>106800</v>
      </c>
      <c r="F11" s="9">
        <f t="shared" ref="F11:F12" si="1">D11*$D$5</f>
        <v>534000</v>
      </c>
      <c r="G11" s="9">
        <v>534000</v>
      </c>
      <c r="H11" s="9">
        <f t="shared" ref="H11:H12" si="2">F11-$D$6</f>
        <v>404000</v>
      </c>
      <c r="I11" s="9">
        <v>404000</v>
      </c>
      <c r="M11" s="12">
        <f t="shared" ref="M11:M12" si="3">B11-C11</f>
        <v>0</v>
      </c>
      <c r="N11" s="12">
        <f t="shared" ref="N11:N12" si="4">D11-E11</f>
        <v>0</v>
      </c>
      <c r="O11" s="12">
        <f t="shared" ref="O11:O12" si="5">F11-G11</f>
        <v>0</v>
      </c>
      <c r="P11" s="12">
        <f>H11-I11</f>
        <v>0</v>
      </c>
    </row>
    <row r="12" spans="1:16">
      <c r="A12" s="2" t="s">
        <v>28</v>
      </c>
      <c r="B12" s="9">
        <v>14060000</v>
      </c>
      <c r="C12" s="9">
        <v>14060000</v>
      </c>
      <c r="D12" s="9">
        <f t="shared" si="0"/>
        <v>281200</v>
      </c>
      <c r="E12" s="9">
        <v>281200</v>
      </c>
      <c r="F12" s="9">
        <f t="shared" si="1"/>
        <v>1406000</v>
      </c>
      <c r="G12" s="9">
        <v>1406000</v>
      </c>
      <c r="H12" s="9">
        <f t="shared" si="2"/>
        <v>1276000</v>
      </c>
      <c r="I12" s="9">
        <v>1276000</v>
      </c>
      <c r="M12" s="12">
        <f t="shared" si="3"/>
        <v>0</v>
      </c>
      <c r="N12" s="12">
        <f t="shared" si="4"/>
        <v>0</v>
      </c>
      <c r="O12" s="12">
        <f t="shared" si="5"/>
        <v>0</v>
      </c>
      <c r="P12" s="12">
        <f t="shared" ref="P12" si="6">H12-I12</f>
        <v>0</v>
      </c>
    </row>
    <row r="13" spans="1:16">
      <c r="B13" s="11"/>
      <c r="C13" s="11"/>
    </row>
    <row r="14" spans="1:16">
      <c r="C14" s="12"/>
    </row>
    <row r="15" spans="1:16">
      <c r="C15" s="12"/>
    </row>
    <row r="16" spans="1:16">
      <c r="C16" s="12"/>
    </row>
    <row r="17" spans="1:4" ht="13.9">
      <c r="A17" s="1" t="s">
        <v>22</v>
      </c>
    </row>
    <row r="19" spans="1:4" ht="64.05" customHeight="1">
      <c r="A19" s="20" t="s">
        <v>34</v>
      </c>
      <c r="B19" s="20"/>
      <c r="C19" s="20"/>
      <c r="D19" s="20"/>
    </row>
  </sheetData>
  <mergeCells count="3">
    <mergeCell ref="A1:D1"/>
    <mergeCell ref="M8:P8"/>
    <mergeCell ref="A19:D19"/>
  </mergeCells>
  <conditionalFormatting sqref="M10:P12">
    <cfRule type="cellIs" dxfId="2" priority="1" operator="notEqual">
      <formula>0</formula>
    </cfRule>
    <cfRule type="expression" dxfId="1" priority="3">
      <formula>$M$10&lt;&gt;0</formula>
    </cfRule>
  </conditionalFormatting>
  <conditionalFormatting sqref="N10:N12">
    <cfRule type="expression" dxfId="0" priority="2">
      <formula>$M$10:$P$12&lt;&gt;0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total subs analysis</vt:lpstr>
      <vt:lpstr>2. total vids analysis</vt:lpstr>
      <vt:lpstr>3. total views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David-Williams</dc:creator>
  <cp:lastModifiedBy>PeggyRPN Tree of Life</cp:lastModifiedBy>
  <dcterms:created xsi:type="dcterms:W3CDTF">2024-05-01T13:04:19Z</dcterms:created>
  <dcterms:modified xsi:type="dcterms:W3CDTF">2025-11-16T21:53:24Z</dcterms:modified>
</cp:coreProperties>
</file>